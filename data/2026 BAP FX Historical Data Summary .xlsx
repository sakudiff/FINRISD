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5"/>
    <sheet state="visible" name="FEBRUARY" sheetId="2" r:id="rId6"/>
    <sheet state="visible" name="MARCH" sheetId="3" r:id="rId7"/>
    <sheet state="visible" name="APRIL" sheetId="4" r:id="rId8"/>
    <sheet state="visible" name="MAY" sheetId="5" r:id="rId9"/>
    <sheet state="visible" name="JUNE" sheetId="6" r:id="rId10"/>
    <sheet state="visible" name="JULY" sheetId="7" r:id="rId11"/>
    <sheet state="visible" name="AUGUST" sheetId="8" r:id="rId12"/>
    <sheet state="visible" name="SEPTEMBER" sheetId="9" r:id="rId13"/>
    <sheet state="visible" name="OCTOBER" sheetId="10" r:id="rId14"/>
    <sheet state="visible" name="NOVEMBER" sheetId="11" r:id="rId15"/>
    <sheet state="visible" name="DECEMBER" sheetId="12" r:id="rId16"/>
  </sheets>
  <definedNames/>
  <calcPr/>
</workbook>
</file>

<file path=xl/sharedStrings.xml><?xml version="1.0" encoding="utf-8"?>
<sst xmlns="http://schemas.openxmlformats.org/spreadsheetml/2006/main" count="288" uniqueCount="93">
  <si>
    <t>From</t>
  </si>
  <si>
    <t>To</t>
  </si>
  <si>
    <t>TIME</t>
  </si>
  <si>
    <t>OPEN</t>
  </si>
  <si>
    <t>HIGH</t>
  </si>
  <si>
    <t>LOW</t>
  </si>
  <si>
    <t>CLOSE</t>
  </si>
  <si>
    <t>BAP AM WEIGHTED AVERAGE</t>
  </si>
  <si>
    <t>AM VOLUME</t>
  </si>
  <si>
    <t>BAP PM WEIGHTED AVERAGE</t>
  </si>
  <si>
    <t>PM VOLUME</t>
  </si>
  <si>
    <t>BAP WEIGHTED AVERAGE</t>
  </si>
  <si>
    <t>TOTAL VOLUME</t>
  </si>
  <si>
    <t>FX SETTLEMENT RATE</t>
  </si>
  <si>
    <t>2026-01-01</t>
  </si>
  <si>
    <t/>
  </si>
  <si>
    <t>2026-01-02</t>
  </si>
  <si>
    <t>9:00:08</t>
  </si>
  <si>
    <t>2026-01-05</t>
  </si>
  <si>
    <t>9:00:12</t>
  </si>
  <si>
    <t>2026-01-06</t>
  </si>
  <si>
    <t>9:00:14</t>
  </si>
  <si>
    <t>2026-01-07</t>
  </si>
  <si>
    <t>9:00:16</t>
  </si>
  <si>
    <t>2026-01-08</t>
  </si>
  <si>
    <t>9:00:17</t>
  </si>
  <si>
    <t>2026-01-09</t>
  </si>
  <si>
    <t>9:00:13</t>
  </si>
  <si>
    <t>2026-01-12</t>
  </si>
  <si>
    <t>9:00:20</t>
  </si>
  <si>
    <t>2026-01-13</t>
  </si>
  <si>
    <t>9:00:03</t>
  </si>
  <si>
    <t>2026-01-14</t>
  </si>
  <si>
    <t>9:00:02</t>
  </si>
  <si>
    <t>2026-01-15</t>
  </si>
  <si>
    <t>2026-01-16</t>
  </si>
  <si>
    <t>9:00:18</t>
  </si>
  <si>
    <t>2026-01-19</t>
  </si>
  <si>
    <t>2026-01-20</t>
  </si>
  <si>
    <t>9:00:10</t>
  </si>
  <si>
    <t>2026-01-21</t>
  </si>
  <si>
    <t>2026-01-22</t>
  </si>
  <si>
    <t>9:00:24</t>
  </si>
  <si>
    <t>2026-01-23</t>
  </si>
  <si>
    <t>2026-01-26</t>
  </si>
  <si>
    <t>2026-01-27</t>
  </si>
  <si>
    <t>2026-01-28</t>
  </si>
  <si>
    <t>9:01:16</t>
  </si>
  <si>
    <t>2026-01-29</t>
  </si>
  <si>
    <t>2026-01-30</t>
  </si>
  <si>
    <t>2026-02-02</t>
  </si>
  <si>
    <t>2026-02-03</t>
  </si>
  <si>
    <t>9:00:23</t>
  </si>
  <si>
    <t>2026-02-04</t>
  </si>
  <si>
    <t>9:00:11</t>
  </si>
  <si>
    <t>2026-02-05</t>
  </si>
  <si>
    <t>2026-02-06</t>
  </si>
  <si>
    <t>2026-02-09</t>
  </si>
  <si>
    <t>2026-02-10</t>
  </si>
  <si>
    <t>2026-02-11</t>
  </si>
  <si>
    <t>9:00:09</t>
  </si>
  <si>
    <t>2026-02-12</t>
  </si>
  <si>
    <t>2026-02-13</t>
  </si>
  <si>
    <t>2026-02-16</t>
  </si>
  <si>
    <t>2026-02-17</t>
  </si>
  <si>
    <t>No FX Trading Due to Proclamation No. 1006</t>
  </si>
  <si>
    <t>2026-02-18</t>
  </si>
  <si>
    <t>9:00:15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</si>
  <si>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</si>
  <si>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</si>
  <si>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</si>
  <si>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</si>
  <si>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</si>
  <si>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</si>
  <si>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</si>
  <si>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</si>
  <si>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9:00:01</t>
  </si>
  <si>
    <t>2026-03-03</t>
  </si>
  <si>
    <t>2026-03-04</t>
  </si>
  <si>
    <t>2026-03-05</t>
  </si>
  <si>
    <t>9:00:27</t>
  </si>
  <si>
    <t>2026-03-06</t>
  </si>
  <si>
    <t>2026-03-09</t>
  </si>
  <si>
    <t>2026-03-10</t>
  </si>
  <si>
    <t>9:00:38</t>
  </si>
  <si>
    <t>2026-03-11</t>
  </si>
  <si>
    <t>9:00:39</t>
  </si>
  <si>
    <t>2026-03-12</t>
  </si>
  <si>
    <t>2026-03-13</t>
  </si>
  <si>
    <t>9:00:07</t>
  </si>
  <si>
    <t>2026-03-16</t>
  </si>
  <si>
    <t>9:01:05</t>
  </si>
  <si>
    <t xml:space="preserve"> 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</si>
</sst>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9">
    <font>
      <sz val="10.0"/>
      <color rgb="FF000000"/>
      <name val="Arial"/>
      <scheme val="minor"/>
    </font>
    <font>
      <sz val="10.0"/>
      <color theme="1"/>
      <name val="Calibri"/>
    </font>
    <font>
      <sz val="10.0"/>
      <color rgb="FF000000"/>
      <name val="Calibri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b/>
      <color rgb="FF000000"/>
      <name val="Calibri"/>
    </font>
    <font>
      <color rgb="FF000000"/>
      <name val="Calibri"/>
    </font>
    <font>
      <b/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C343D"/>
        <bgColor rgb="FF0C343D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2" fontId="2" numFmtId="165" xfId="0" applyFill="1" applyFont="1" applyNumberFormat="1"/>
    <xf borderId="0" fillId="3" fontId="3" numFmtId="0" xfId="0" applyAlignment="1" applyFill="1" applyFont="1">
      <alignment horizontal="center" vertical="center"/>
    </xf>
    <xf borderId="0" fillId="3" fontId="3" numFmtId="0" xfId="0" applyAlignment="1" applyFont="1">
      <alignment horizontal="center" shrinkToFit="0" vertical="center" wrapText="1"/>
    </xf>
    <xf quotePrefix="1" borderId="0" fillId="2" fontId="4" numFmtId="0" xfId="0" applyAlignment="1" applyFont="1">
      <alignment horizontal="right" readingOrder="0" vertical="bottom"/>
    </xf>
    <xf borderId="0" fillId="2" fontId="4" numFmtId="0" xfId="0" applyAlignment="1" applyFont="1">
      <alignment horizontal="right" readingOrder="0" vertical="bottom"/>
    </xf>
    <xf borderId="0" fillId="2" fontId="4" numFmtId="0" xfId="0" applyAlignment="1" applyFont="1">
      <alignment horizontal="right"/>
    </xf>
    <xf quotePrefix="1" borderId="0" fillId="2" fontId="4" numFmtId="0" xfId="0" applyAlignment="1" applyFont="1">
      <alignment horizontal="right" readingOrder="0"/>
    </xf>
    <xf borderId="0" fillId="2" fontId="4" numFmtId="0" xfId="0" applyAlignment="1" applyFont="1">
      <alignment horizontal="right" readingOrder="0"/>
    </xf>
    <xf borderId="0" fillId="2" fontId="4" numFmtId="0" xfId="0" applyAlignment="1" applyFont="1">
      <alignment horizontal="right" readingOrder="0" vertical="bottom"/>
    </xf>
    <xf borderId="0" fillId="2" fontId="4" numFmtId="0" xfId="0" applyAlignment="1" applyFont="1">
      <alignment horizontal="right" vertical="bottom"/>
    </xf>
    <xf borderId="0" fillId="0" fontId="1" numFmtId="0" xfId="0" applyAlignment="1" applyFont="1">
      <alignment horizontal="right"/>
    </xf>
    <xf borderId="0" fillId="0" fontId="5" numFmtId="0" xfId="0" applyAlignment="1" applyFont="1">
      <alignment horizontal="right"/>
    </xf>
    <xf borderId="0" fillId="4" fontId="6" numFmtId="0" xfId="0" applyAlignment="1" applyFill="1" applyFont="1">
      <alignment horizontal="right" readingOrder="0"/>
    </xf>
    <xf borderId="0" fillId="2" fontId="7" numFmtId="164" xfId="0" applyAlignment="1" applyFont="1" applyNumberFormat="1">
      <alignment horizontal="right" vertical="bottom"/>
    </xf>
    <xf borderId="0" fillId="0" fontId="8" numFmtId="0" xfId="0" applyFont="1"/>
    <xf borderId="0" fillId="2" fontId="7" numFmtId="164" xfId="0" applyAlignment="1" applyFont="1" applyNumberFormat="1">
      <alignment horizontal="right" readingOrder="0" vertical="bottom"/>
    </xf>
    <xf borderId="0" fillId="0" fontId="1" numFmtId="21" xfId="0" applyAlignment="1" applyFont="1" applyNumberFormat="1">
      <alignment horizontal="right" readingOrder="0"/>
    </xf>
    <xf borderId="0" fillId="0" fontId="4" numFmtId="21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46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right" readingOrder="0" vertical="bottom"/>
    </xf>
    <xf borderId="0" fillId="2" fontId="4" numFmtId="46" xfId="0" applyAlignment="1" applyFont="1" applyNumberFormat="1">
      <alignment horizontal="right" vertical="bottom"/>
    </xf>
    <xf borderId="0" fillId="5" fontId="1" numFmtId="16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1">
    <dxf>
      <font>
        <color rgb="FF00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>
        <v>45323.0</v>
      </c>
      <c r="B2" s="4">
        <f>EOMONTH(A2,0)</f>
        <v>45351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14</v>
      </c>
      <c r="B4" s="8" t="s">
        <v>15</v>
      </c>
      <c r="C4" s="8" t="s">
        <v>15</v>
      </c>
      <c r="D4" s="8" t="s">
        <v>15</v>
      </c>
      <c r="E4" s="8" t="s">
        <v>15</v>
      </c>
      <c r="F4" s="8" t="s">
        <v>15</v>
      </c>
      <c r="G4" s="8" t="s">
        <v>15</v>
      </c>
      <c r="H4" s="8" t="s">
        <v>15</v>
      </c>
      <c r="I4" s="8" t="s">
        <v>15</v>
      </c>
      <c r="J4" s="8" t="s">
        <v>15</v>
      </c>
      <c r="K4" s="8" t="s">
        <v>15</v>
      </c>
      <c r="L4" s="8" t="s">
        <v>15</v>
      </c>
      <c r="M4" s="8" t="s">
        <v>15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7" t="s">
        <v>16</v>
      </c>
      <c r="B5" s="10" t="s">
        <v>17</v>
      </c>
      <c r="C5" s="11">
        <v>58.85</v>
      </c>
      <c r="D5" s="11">
        <v>58.9</v>
      </c>
      <c r="E5" s="11">
        <v>58.8</v>
      </c>
      <c r="F5" s="11">
        <v>58.841</v>
      </c>
      <c r="G5" s="11">
        <v>58.874</v>
      </c>
      <c r="H5" s="11">
        <v>376.53</v>
      </c>
      <c r="I5" s="11">
        <v>58.874</v>
      </c>
      <c r="J5" s="11">
        <v>322.6</v>
      </c>
      <c r="K5" s="11">
        <v>58.874</v>
      </c>
      <c r="L5" s="11">
        <v>699.13</v>
      </c>
      <c r="M5" s="11">
        <v>58.874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 t="s">
        <v>18</v>
      </c>
      <c r="B6" s="10" t="s">
        <v>19</v>
      </c>
      <c r="C6" s="11">
        <v>58.888</v>
      </c>
      <c r="D6" s="11">
        <v>59.13</v>
      </c>
      <c r="E6" s="11">
        <v>58.85</v>
      </c>
      <c r="F6" s="11">
        <v>59.13</v>
      </c>
      <c r="G6" s="11">
        <v>58.893</v>
      </c>
      <c r="H6" s="11">
        <v>516.0</v>
      </c>
      <c r="I6" s="11">
        <v>59.051</v>
      </c>
      <c r="J6" s="11">
        <v>413.0</v>
      </c>
      <c r="K6" s="11">
        <v>58.964</v>
      </c>
      <c r="L6" s="11">
        <v>929.0</v>
      </c>
      <c r="M6" s="11">
        <v>58.893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 t="s">
        <v>20</v>
      </c>
      <c r="B7" s="10" t="s">
        <v>21</v>
      </c>
      <c r="C7" s="11">
        <v>59.07</v>
      </c>
      <c r="D7" s="11">
        <v>59.21</v>
      </c>
      <c r="E7" s="11">
        <v>59.07</v>
      </c>
      <c r="F7" s="11">
        <v>59.21</v>
      </c>
      <c r="G7" s="11">
        <v>59.141</v>
      </c>
      <c r="H7" s="11">
        <v>788.45</v>
      </c>
      <c r="I7" s="11">
        <v>59.165</v>
      </c>
      <c r="J7" s="11">
        <v>597.22</v>
      </c>
      <c r="K7" s="11">
        <v>59.152</v>
      </c>
      <c r="L7" s="11">
        <v>1385.67</v>
      </c>
      <c r="M7" s="11">
        <v>59.141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 t="s">
        <v>22</v>
      </c>
      <c r="B8" s="10" t="s">
        <v>23</v>
      </c>
      <c r="C8" s="11">
        <v>59.24</v>
      </c>
      <c r="D8" s="11">
        <v>59.38</v>
      </c>
      <c r="E8" s="11">
        <v>59.2</v>
      </c>
      <c r="F8" s="11">
        <v>59.355</v>
      </c>
      <c r="G8" s="11">
        <v>59.32</v>
      </c>
      <c r="H8" s="11">
        <v>754.75</v>
      </c>
      <c r="I8" s="11">
        <v>59.34</v>
      </c>
      <c r="J8" s="11">
        <v>561.8</v>
      </c>
      <c r="K8" s="11">
        <v>59.329</v>
      </c>
      <c r="L8" s="11">
        <v>1316.55</v>
      </c>
      <c r="M8" s="11">
        <v>59.32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 t="s">
        <v>24</v>
      </c>
      <c r="B9" s="10" t="s">
        <v>25</v>
      </c>
      <c r="C9" s="11">
        <v>59.3</v>
      </c>
      <c r="D9" s="11">
        <v>59.3</v>
      </c>
      <c r="E9" s="11">
        <v>59.01</v>
      </c>
      <c r="F9" s="11">
        <v>59.17</v>
      </c>
      <c r="G9" s="11">
        <v>59.186</v>
      </c>
      <c r="H9" s="11">
        <v>866.5</v>
      </c>
      <c r="I9" s="11">
        <v>59.106</v>
      </c>
      <c r="J9" s="11">
        <v>781.1</v>
      </c>
      <c r="K9" s="11">
        <v>59.148</v>
      </c>
      <c r="L9" s="11">
        <v>1647.6</v>
      </c>
      <c r="M9" s="11">
        <v>59.186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 t="s">
        <v>26</v>
      </c>
      <c r="B10" s="10" t="s">
        <v>27</v>
      </c>
      <c r="C10" s="11">
        <v>59.2</v>
      </c>
      <c r="D10" s="11">
        <v>59.28</v>
      </c>
      <c r="E10" s="11">
        <v>59.07</v>
      </c>
      <c r="F10" s="11">
        <v>59.245</v>
      </c>
      <c r="G10" s="11">
        <v>59.135</v>
      </c>
      <c r="H10" s="11">
        <v>719.83</v>
      </c>
      <c r="I10" s="11">
        <v>59.206</v>
      </c>
      <c r="J10" s="11">
        <v>514.502</v>
      </c>
      <c r="K10" s="11">
        <v>59.164</v>
      </c>
      <c r="L10" s="11">
        <v>1234.33</v>
      </c>
      <c r="M10" s="11">
        <v>59.135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 t="s">
        <v>28</v>
      </c>
      <c r="B11" s="10" t="s">
        <v>29</v>
      </c>
      <c r="C11" s="11">
        <v>59.22</v>
      </c>
      <c r="D11" s="11">
        <v>59.28</v>
      </c>
      <c r="E11" s="11">
        <v>59.17</v>
      </c>
      <c r="F11" s="11">
        <v>59.26</v>
      </c>
      <c r="G11" s="11">
        <v>59.23</v>
      </c>
      <c r="H11" s="11">
        <v>499.5</v>
      </c>
      <c r="I11" s="11">
        <v>59.256</v>
      </c>
      <c r="J11" s="11">
        <v>387.8</v>
      </c>
      <c r="K11" s="11">
        <v>59.241</v>
      </c>
      <c r="L11" s="11">
        <v>887.3</v>
      </c>
      <c r="M11" s="11">
        <v>59.23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 t="s">
        <v>30</v>
      </c>
      <c r="B12" s="10" t="s">
        <v>31</v>
      </c>
      <c r="C12" s="11">
        <v>59.28</v>
      </c>
      <c r="D12" s="11">
        <v>59.36</v>
      </c>
      <c r="E12" s="11">
        <v>59.26</v>
      </c>
      <c r="F12" s="11">
        <v>59.341</v>
      </c>
      <c r="G12" s="11">
        <v>59.301</v>
      </c>
      <c r="H12" s="11">
        <v>529.72</v>
      </c>
      <c r="I12" s="11">
        <v>59.318</v>
      </c>
      <c r="J12" s="11">
        <v>469.5</v>
      </c>
      <c r="K12" s="11">
        <v>59.309</v>
      </c>
      <c r="L12" s="11">
        <v>999.22</v>
      </c>
      <c r="M12" s="11">
        <v>59.301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 t="s">
        <v>32</v>
      </c>
      <c r="B13" s="10" t="s">
        <v>33</v>
      </c>
      <c r="C13" s="11">
        <v>59.38</v>
      </c>
      <c r="D13" s="11">
        <v>59.45</v>
      </c>
      <c r="E13" s="11">
        <v>59.35</v>
      </c>
      <c r="F13" s="11">
        <v>59.44</v>
      </c>
      <c r="G13" s="11">
        <v>59.414</v>
      </c>
      <c r="H13" s="11">
        <v>549.0</v>
      </c>
      <c r="I13" s="11">
        <v>59.433</v>
      </c>
      <c r="J13" s="11">
        <v>402.0</v>
      </c>
      <c r="K13" s="11">
        <v>59.422</v>
      </c>
      <c r="L13" s="11">
        <v>951.0</v>
      </c>
      <c r="M13" s="11">
        <v>59.414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" t="s">
        <v>34</v>
      </c>
      <c r="B14" s="10" t="s">
        <v>25</v>
      </c>
      <c r="C14" s="11">
        <v>59.43</v>
      </c>
      <c r="D14" s="11">
        <v>59.47</v>
      </c>
      <c r="E14" s="11">
        <v>59.35</v>
      </c>
      <c r="F14" s="11">
        <v>59.46</v>
      </c>
      <c r="G14" s="11">
        <v>59.428</v>
      </c>
      <c r="H14" s="11">
        <v>666.4</v>
      </c>
      <c r="I14" s="11">
        <v>59.459</v>
      </c>
      <c r="J14" s="11">
        <v>413.0</v>
      </c>
      <c r="K14" s="11">
        <v>59.44</v>
      </c>
      <c r="L14" s="11">
        <v>1079.4</v>
      </c>
      <c r="M14" s="11">
        <v>59.428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 t="s">
        <v>35</v>
      </c>
      <c r="B15" s="7" t="s">
        <v>36</v>
      </c>
      <c r="C15" s="12">
        <v>59.4</v>
      </c>
      <c r="D15" s="12">
        <v>59.43</v>
      </c>
      <c r="E15" s="12">
        <v>59.33</v>
      </c>
      <c r="F15" s="8">
        <v>59.35</v>
      </c>
      <c r="G15" s="8">
        <v>59.399</v>
      </c>
      <c r="H15" s="8">
        <v>470.5</v>
      </c>
      <c r="I15" s="8">
        <v>59.37</v>
      </c>
      <c r="J15" s="8">
        <v>382.2</v>
      </c>
      <c r="K15" s="8">
        <v>59.386</v>
      </c>
      <c r="L15" s="8">
        <v>852.7</v>
      </c>
      <c r="M15" s="8">
        <v>59.399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" t="s">
        <v>37</v>
      </c>
      <c r="B16" s="10" t="s">
        <v>23</v>
      </c>
      <c r="C16" s="11">
        <v>59.34</v>
      </c>
      <c r="D16" s="11">
        <v>59.45</v>
      </c>
      <c r="E16" s="11">
        <v>59.29</v>
      </c>
      <c r="F16" s="11">
        <v>59.44</v>
      </c>
      <c r="G16" s="11">
        <v>59.361</v>
      </c>
      <c r="H16" s="11">
        <v>520.3</v>
      </c>
      <c r="I16" s="11">
        <v>59.426</v>
      </c>
      <c r="J16" s="11">
        <v>598.55</v>
      </c>
      <c r="K16" s="11">
        <v>59.396</v>
      </c>
      <c r="L16" s="11">
        <v>1118.85</v>
      </c>
      <c r="M16" s="11">
        <v>59.361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7" t="s">
        <v>38</v>
      </c>
      <c r="B17" s="10" t="s">
        <v>39</v>
      </c>
      <c r="C17" s="11">
        <v>59.44</v>
      </c>
      <c r="D17" s="11">
        <v>59.5</v>
      </c>
      <c r="E17" s="11">
        <v>59.42</v>
      </c>
      <c r="F17" s="11">
        <v>59.455</v>
      </c>
      <c r="G17" s="11">
        <v>59.465</v>
      </c>
      <c r="H17" s="11">
        <v>547.0</v>
      </c>
      <c r="I17" s="11">
        <v>59.486</v>
      </c>
      <c r="J17" s="11">
        <v>664.57</v>
      </c>
      <c r="K17" s="11">
        <v>59.477</v>
      </c>
      <c r="L17" s="11">
        <v>1211.57</v>
      </c>
      <c r="M17" s="11">
        <v>59.465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7" t="s">
        <v>40</v>
      </c>
      <c r="B18" s="7" t="s">
        <v>36</v>
      </c>
      <c r="C18" s="12">
        <v>59.39</v>
      </c>
      <c r="D18" s="12">
        <v>59.4</v>
      </c>
      <c r="E18" s="12">
        <v>59.235</v>
      </c>
      <c r="F18" s="8">
        <v>59.261</v>
      </c>
      <c r="G18" s="8">
        <v>59.337</v>
      </c>
      <c r="H18" s="8">
        <v>849.15</v>
      </c>
      <c r="I18" s="8">
        <v>59.302</v>
      </c>
      <c r="J18" s="8">
        <v>707.353</v>
      </c>
      <c r="K18" s="8">
        <v>59.321</v>
      </c>
      <c r="L18" s="8">
        <v>1556.5</v>
      </c>
      <c r="M18" s="8">
        <v>59.337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 t="s">
        <v>41</v>
      </c>
      <c r="B19" s="7" t="s">
        <v>42</v>
      </c>
      <c r="C19" s="12">
        <v>59.18</v>
      </c>
      <c r="D19" s="12">
        <v>59.23</v>
      </c>
      <c r="E19" s="12">
        <v>59.095</v>
      </c>
      <c r="F19" s="8">
        <v>59.16</v>
      </c>
      <c r="G19" s="8">
        <v>59.175</v>
      </c>
      <c r="H19" s="8">
        <v>614.34</v>
      </c>
      <c r="I19" s="8">
        <v>59.16</v>
      </c>
      <c r="J19" s="8">
        <v>752.5</v>
      </c>
      <c r="K19" s="8">
        <v>59.167</v>
      </c>
      <c r="L19" s="8">
        <v>1366.84</v>
      </c>
      <c r="M19" s="8">
        <v>59.175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 t="s">
        <v>43</v>
      </c>
      <c r="B20" s="7" t="s">
        <v>36</v>
      </c>
      <c r="C20" s="12">
        <v>59.03</v>
      </c>
      <c r="D20" s="12">
        <v>59.1</v>
      </c>
      <c r="E20" s="12">
        <v>58.97</v>
      </c>
      <c r="F20" s="8">
        <v>59.09</v>
      </c>
      <c r="G20" s="8">
        <v>59.04</v>
      </c>
      <c r="H20" s="8">
        <v>516.0</v>
      </c>
      <c r="I20" s="8">
        <v>59.045</v>
      </c>
      <c r="J20" s="8">
        <v>643.1</v>
      </c>
      <c r="K20" s="8">
        <v>59.043</v>
      </c>
      <c r="L20" s="8">
        <v>1159.1</v>
      </c>
      <c r="M20" s="8">
        <v>59.04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" t="s">
        <v>44</v>
      </c>
      <c r="B21" s="7" t="s">
        <v>25</v>
      </c>
      <c r="C21" s="12">
        <v>58.97</v>
      </c>
      <c r="D21" s="12">
        <v>59.048</v>
      </c>
      <c r="E21" s="12">
        <v>58.92</v>
      </c>
      <c r="F21" s="8">
        <v>58.971</v>
      </c>
      <c r="G21" s="8">
        <v>58.994</v>
      </c>
      <c r="H21" s="8">
        <v>495.5</v>
      </c>
      <c r="I21" s="8">
        <v>58.969</v>
      </c>
      <c r="J21" s="8">
        <v>458.5</v>
      </c>
      <c r="K21" s="8">
        <v>58.982</v>
      </c>
      <c r="L21" s="8">
        <v>954.0</v>
      </c>
      <c r="M21" s="8">
        <v>58.994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7" t="s">
        <v>45</v>
      </c>
      <c r="B22" s="7" t="s">
        <v>33</v>
      </c>
      <c r="C22" s="12">
        <v>59.05</v>
      </c>
      <c r="D22" s="12">
        <v>59.1</v>
      </c>
      <c r="E22" s="12">
        <v>59.035</v>
      </c>
      <c r="F22" s="8">
        <v>59.085</v>
      </c>
      <c r="G22" s="8">
        <v>59.082</v>
      </c>
      <c r="H22" s="8">
        <v>557.5</v>
      </c>
      <c r="I22" s="8">
        <v>59.073</v>
      </c>
      <c r="J22" s="8">
        <v>442.5</v>
      </c>
      <c r="K22" s="8">
        <v>59.078</v>
      </c>
      <c r="L22" s="8">
        <v>1000.0</v>
      </c>
      <c r="M22" s="8">
        <v>59.082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7" t="s">
        <v>46</v>
      </c>
      <c r="B23" s="7" t="s">
        <v>47</v>
      </c>
      <c r="C23" s="12">
        <v>58.85</v>
      </c>
      <c r="D23" s="12">
        <v>58.9</v>
      </c>
      <c r="E23" s="12">
        <v>58.69</v>
      </c>
      <c r="F23" s="8">
        <v>58.74</v>
      </c>
      <c r="G23" s="8">
        <v>58.874</v>
      </c>
      <c r="H23" s="8">
        <v>682.5</v>
      </c>
      <c r="I23" s="8">
        <v>58.801</v>
      </c>
      <c r="J23" s="8">
        <v>778.6</v>
      </c>
      <c r="K23" s="8">
        <v>58.835</v>
      </c>
      <c r="L23" s="8">
        <v>1461.1</v>
      </c>
      <c r="M23" s="8">
        <v>58.874</v>
      </c>
      <c r="N23" s="13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7" t="s">
        <v>48</v>
      </c>
      <c r="B24" s="7" t="s">
        <v>21</v>
      </c>
      <c r="C24" s="12">
        <v>58.78</v>
      </c>
      <c r="D24" s="12">
        <v>58.95</v>
      </c>
      <c r="E24" s="12">
        <v>58.75</v>
      </c>
      <c r="F24" s="8">
        <v>58.945</v>
      </c>
      <c r="G24" s="8">
        <v>58.854</v>
      </c>
      <c r="H24" s="8">
        <v>556.5</v>
      </c>
      <c r="I24" s="8">
        <v>58.912</v>
      </c>
      <c r="J24" s="8">
        <v>772.608</v>
      </c>
      <c r="K24" s="8">
        <v>58.888</v>
      </c>
      <c r="L24" s="8">
        <v>1329.11</v>
      </c>
      <c r="M24" s="8">
        <v>58.854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7" t="s">
        <v>49</v>
      </c>
      <c r="B25" s="7" t="s">
        <v>21</v>
      </c>
      <c r="C25" s="12">
        <v>58.98</v>
      </c>
      <c r="D25" s="12">
        <v>59.0</v>
      </c>
      <c r="E25" s="12">
        <v>58.85</v>
      </c>
      <c r="F25" s="8">
        <v>58.86</v>
      </c>
      <c r="G25" s="8">
        <v>58.98</v>
      </c>
      <c r="H25" s="8">
        <v>636.03</v>
      </c>
      <c r="I25" s="8">
        <v>58.929</v>
      </c>
      <c r="J25" s="8">
        <v>630.497</v>
      </c>
      <c r="K25" s="8">
        <v>58.954</v>
      </c>
      <c r="L25" s="8">
        <v>1266.53</v>
      </c>
      <c r="M25" s="8">
        <v>58.98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">
        <v>45688.0</v>
      </c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5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5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5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5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5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conditionalFormatting sqref="A1:A999">
    <cfRule type="expression" dxfId="0" priority="1">
      <formula>COUNTIF($A$1:$A$999, A1)&gt;1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>
        <v>45323.0</v>
      </c>
      <c r="B2" s="4">
        <f>EOMONTH(A2,0)</f>
        <v>45351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50</v>
      </c>
      <c r="B4" s="7" t="s">
        <v>27</v>
      </c>
      <c r="C4" s="12">
        <v>58.9</v>
      </c>
      <c r="D4" s="12">
        <v>58.915</v>
      </c>
      <c r="E4" s="12">
        <v>58.86</v>
      </c>
      <c r="F4" s="8">
        <v>58.899</v>
      </c>
      <c r="G4" s="8">
        <v>58.884</v>
      </c>
      <c r="H4" s="8">
        <v>408.5</v>
      </c>
      <c r="I4" s="8">
        <v>58.89</v>
      </c>
      <c r="J4" s="8">
        <v>364.5</v>
      </c>
      <c r="K4" s="8">
        <v>58.887</v>
      </c>
      <c r="L4" s="8">
        <v>773.0</v>
      </c>
      <c r="M4" s="8">
        <v>58.884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7" t="s">
        <v>51</v>
      </c>
      <c r="B5" s="7" t="s">
        <v>52</v>
      </c>
      <c r="C5" s="12">
        <v>58.888</v>
      </c>
      <c r="D5" s="12">
        <v>58.93</v>
      </c>
      <c r="E5" s="12">
        <v>58.83</v>
      </c>
      <c r="F5" s="8">
        <v>58.89</v>
      </c>
      <c r="G5" s="8">
        <v>58.857</v>
      </c>
      <c r="H5" s="8">
        <v>447.5</v>
      </c>
      <c r="I5" s="8">
        <v>58.874</v>
      </c>
      <c r="J5" s="8">
        <v>636.5</v>
      </c>
      <c r="K5" s="8">
        <v>58.867</v>
      </c>
      <c r="L5" s="8">
        <v>1084.0</v>
      </c>
      <c r="M5" s="8">
        <v>58.857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 t="s">
        <v>53</v>
      </c>
      <c r="B6" s="7" t="s">
        <v>54</v>
      </c>
      <c r="C6" s="12">
        <v>58.95</v>
      </c>
      <c r="D6" s="12">
        <v>58.97</v>
      </c>
      <c r="E6" s="12">
        <v>58.94</v>
      </c>
      <c r="F6" s="8">
        <v>58.97</v>
      </c>
      <c r="G6" s="8">
        <v>58.967</v>
      </c>
      <c r="H6" s="8">
        <v>494.19</v>
      </c>
      <c r="I6" s="8">
        <v>58.969</v>
      </c>
      <c r="J6" s="8">
        <v>715.08</v>
      </c>
      <c r="K6" s="8">
        <v>58.968</v>
      </c>
      <c r="L6" s="8">
        <v>1209.27</v>
      </c>
      <c r="M6" s="8">
        <v>58.967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 t="s">
        <v>55</v>
      </c>
      <c r="B7" s="7" t="s">
        <v>36</v>
      </c>
      <c r="C7" s="12">
        <v>58.95</v>
      </c>
      <c r="D7" s="12">
        <v>58.95</v>
      </c>
      <c r="E7" s="12">
        <v>58.69</v>
      </c>
      <c r="F7" s="8">
        <v>58.69</v>
      </c>
      <c r="G7" s="8">
        <v>58.866</v>
      </c>
      <c r="H7" s="8">
        <v>663.55</v>
      </c>
      <c r="I7" s="8">
        <v>58.793</v>
      </c>
      <c r="J7" s="8">
        <v>772.5</v>
      </c>
      <c r="K7" s="8">
        <v>58.827</v>
      </c>
      <c r="L7" s="8">
        <v>1436.05</v>
      </c>
      <c r="M7" s="8">
        <v>58.866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 t="s">
        <v>56</v>
      </c>
      <c r="B8" s="7" t="s">
        <v>21</v>
      </c>
      <c r="C8" s="12">
        <v>58.75</v>
      </c>
      <c r="D8" s="12">
        <v>58.75</v>
      </c>
      <c r="E8" s="12">
        <v>58.545</v>
      </c>
      <c r="F8" s="8">
        <v>58.585</v>
      </c>
      <c r="G8" s="8">
        <v>58.643</v>
      </c>
      <c r="H8" s="8">
        <v>908.5</v>
      </c>
      <c r="I8" s="8">
        <v>58.588</v>
      </c>
      <c r="J8" s="8">
        <v>715.69</v>
      </c>
      <c r="K8" s="8">
        <v>58.619</v>
      </c>
      <c r="L8" s="8">
        <v>1624.19</v>
      </c>
      <c r="M8" s="8">
        <v>58.643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 t="s">
        <v>57</v>
      </c>
      <c r="B9" s="7" t="s">
        <v>25</v>
      </c>
      <c r="C9" s="12">
        <v>58.5</v>
      </c>
      <c r="D9" s="12">
        <v>58.55</v>
      </c>
      <c r="E9" s="12">
        <v>58.38</v>
      </c>
      <c r="F9" s="8">
        <v>58.455</v>
      </c>
      <c r="G9" s="8">
        <v>58.442</v>
      </c>
      <c r="H9" s="8">
        <v>739.0</v>
      </c>
      <c r="I9" s="8">
        <v>58.446</v>
      </c>
      <c r="J9" s="8">
        <v>341.0</v>
      </c>
      <c r="K9" s="8">
        <v>58.443</v>
      </c>
      <c r="L9" s="8">
        <v>1080.0</v>
      </c>
      <c r="M9" s="8">
        <v>58.442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 t="s">
        <v>58</v>
      </c>
      <c r="B10" s="7" t="s">
        <v>21</v>
      </c>
      <c r="C10" s="12">
        <v>58.4</v>
      </c>
      <c r="D10" s="12">
        <v>58.53</v>
      </c>
      <c r="E10" s="12">
        <v>58.38</v>
      </c>
      <c r="F10" s="8">
        <v>58.53</v>
      </c>
      <c r="G10" s="8">
        <v>58.47</v>
      </c>
      <c r="H10" s="8">
        <v>489.45</v>
      </c>
      <c r="I10" s="8">
        <v>58.488</v>
      </c>
      <c r="J10" s="8">
        <v>689.351</v>
      </c>
      <c r="K10" s="8">
        <v>58.481</v>
      </c>
      <c r="L10" s="8">
        <v>1178.8</v>
      </c>
      <c r="M10" s="8">
        <v>58.47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 t="s">
        <v>59</v>
      </c>
      <c r="B11" s="7" t="s">
        <v>60</v>
      </c>
      <c r="C11" s="12">
        <v>58.44</v>
      </c>
      <c r="D11" s="12">
        <v>58.48</v>
      </c>
      <c r="E11" s="12">
        <v>58.255</v>
      </c>
      <c r="F11" s="8">
        <v>58.29</v>
      </c>
      <c r="G11" s="8">
        <v>58.437</v>
      </c>
      <c r="H11" s="8">
        <v>596.41</v>
      </c>
      <c r="I11" s="8">
        <v>58.364</v>
      </c>
      <c r="J11" s="8">
        <v>867.67</v>
      </c>
      <c r="K11" s="8">
        <v>58.393</v>
      </c>
      <c r="L11" s="8">
        <v>1464.08</v>
      </c>
      <c r="M11" s="8">
        <v>58.437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 t="s">
        <v>61</v>
      </c>
      <c r="B12" s="7" t="s">
        <v>29</v>
      </c>
      <c r="C12" s="12">
        <v>58.18</v>
      </c>
      <c r="D12" s="12">
        <v>58.26</v>
      </c>
      <c r="E12" s="12">
        <v>58.09</v>
      </c>
      <c r="F12" s="8">
        <v>58.115</v>
      </c>
      <c r="G12" s="8">
        <v>58.214</v>
      </c>
      <c r="H12" s="8">
        <v>805.0</v>
      </c>
      <c r="I12" s="8">
        <v>58.146</v>
      </c>
      <c r="J12" s="8">
        <v>810.23</v>
      </c>
      <c r="K12" s="8">
        <v>58.18</v>
      </c>
      <c r="L12" s="8">
        <v>1615.23</v>
      </c>
      <c r="M12" s="8">
        <v>58.214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 t="s">
        <v>62</v>
      </c>
      <c r="B13" s="10" t="s">
        <v>54</v>
      </c>
      <c r="C13" s="11">
        <v>58.1</v>
      </c>
      <c r="D13" s="11">
        <v>58.148</v>
      </c>
      <c r="E13" s="11">
        <v>57.95</v>
      </c>
      <c r="F13" s="11">
        <v>58.02</v>
      </c>
      <c r="G13" s="11">
        <v>58.093</v>
      </c>
      <c r="H13" s="11">
        <v>692.0</v>
      </c>
      <c r="I13" s="11">
        <v>58.022</v>
      </c>
      <c r="J13" s="11">
        <v>645.87</v>
      </c>
      <c r="K13" s="11">
        <v>58.059</v>
      </c>
      <c r="L13" s="11">
        <v>1337.87</v>
      </c>
      <c r="M13" s="11">
        <v>58.093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" t="s">
        <v>63</v>
      </c>
      <c r="B14" s="10" t="s">
        <v>25</v>
      </c>
      <c r="C14" s="11">
        <v>57.95</v>
      </c>
      <c r="D14" s="11">
        <v>58.02</v>
      </c>
      <c r="E14" s="11">
        <v>57.91</v>
      </c>
      <c r="F14" s="11">
        <v>57.986</v>
      </c>
      <c r="G14" s="11">
        <v>57.943</v>
      </c>
      <c r="H14" s="11">
        <v>385.5</v>
      </c>
      <c r="I14" s="11">
        <v>57.964</v>
      </c>
      <c r="J14" s="11">
        <v>511.0</v>
      </c>
      <c r="K14" s="11">
        <v>57.955</v>
      </c>
      <c r="L14" s="11">
        <v>896.5</v>
      </c>
      <c r="M14" s="11">
        <v>57.943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 t="s">
        <v>64</v>
      </c>
      <c r="B15" s="16" t="s">
        <v>65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66</v>
      </c>
      <c r="B16" s="7" t="s">
        <v>67</v>
      </c>
      <c r="C16" s="12">
        <v>57.94</v>
      </c>
      <c r="D16" s="12">
        <v>58.04</v>
      </c>
      <c r="E16" s="12">
        <v>57.84</v>
      </c>
      <c r="F16" s="8">
        <v>57.861</v>
      </c>
      <c r="G16" s="8">
        <v>57.992</v>
      </c>
      <c r="H16" s="8">
        <v>538.0</v>
      </c>
      <c r="I16" s="8">
        <v>57.89</v>
      </c>
      <c r="J16" s="8">
        <v>508.0</v>
      </c>
      <c r="K16" s="8">
        <v>57.942</v>
      </c>
      <c r="L16" s="8">
        <v>1046.0</v>
      </c>
      <c r="M16" s="8">
        <v>57.992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7" t="s">
        <v>68</v>
      </c>
      <c r="B17" s="7" t="s">
        <v>25</v>
      </c>
      <c r="C17" s="12">
        <v>57.88</v>
      </c>
      <c r="D17" s="12">
        <v>58.0</v>
      </c>
      <c r="E17" s="12">
        <v>57.88</v>
      </c>
      <c r="F17" s="8">
        <v>57.996</v>
      </c>
      <c r="G17" s="8">
        <v>57.92</v>
      </c>
      <c r="H17" s="8">
        <v>585.0</v>
      </c>
      <c r="I17" s="8">
        <v>57.988</v>
      </c>
      <c r="J17" s="8">
        <v>1028.05</v>
      </c>
      <c r="K17" s="8">
        <v>57.964</v>
      </c>
      <c r="L17" s="8">
        <v>1613.05</v>
      </c>
      <c r="M17" s="8">
        <v>57.92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7" t="s">
        <v>69</v>
      </c>
      <c r="B18" s="7" t="s">
        <v>36</v>
      </c>
      <c r="C18" s="12">
        <v>58.051</v>
      </c>
      <c r="D18" s="12">
        <v>58.15</v>
      </c>
      <c r="E18" s="12">
        <v>58.05</v>
      </c>
      <c r="F18" s="8">
        <v>58.15</v>
      </c>
      <c r="G18" s="12">
        <v>58.122</v>
      </c>
      <c r="H18" s="12">
        <v>449.0</v>
      </c>
      <c r="I18" s="8">
        <v>58.142</v>
      </c>
      <c r="J18" s="8">
        <v>918.6</v>
      </c>
      <c r="K18" s="12">
        <v>58.135</v>
      </c>
      <c r="L18" s="12">
        <v>1367.6</v>
      </c>
      <c r="M18" s="12">
        <v>58.122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 t="s">
        <v>70</v>
      </c>
      <c r="B19" s="7" t="s">
        <v>25</v>
      </c>
      <c r="C19" s="12">
        <v>57.95</v>
      </c>
      <c r="D19" s="12">
        <v>57.999</v>
      </c>
      <c r="E19" s="12">
        <v>57.53</v>
      </c>
      <c r="F19" s="8">
        <v>57.575</v>
      </c>
      <c r="G19" s="8">
        <v>57.914</v>
      </c>
      <c r="H19" s="8">
        <v>596.1</v>
      </c>
      <c r="I19" s="8">
        <v>57.708</v>
      </c>
      <c r="J19" s="8">
        <v>1120.2</v>
      </c>
      <c r="K19" s="8">
        <v>57.779</v>
      </c>
      <c r="L19" s="8">
        <v>1716.3</v>
      </c>
      <c r="M19" s="8">
        <v>57.914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 t="s">
        <v>71</v>
      </c>
      <c r="B20" s="7" t="s">
        <v>25</v>
      </c>
      <c r="C20" s="12">
        <v>57.66</v>
      </c>
      <c r="D20" s="12">
        <v>57.82</v>
      </c>
      <c r="E20" s="12">
        <v>57.645</v>
      </c>
      <c r="F20" s="8">
        <v>57.755</v>
      </c>
      <c r="G20" s="8">
        <v>57.689</v>
      </c>
      <c r="H20" s="8">
        <v>729.5</v>
      </c>
      <c r="I20" s="8">
        <v>57.759</v>
      </c>
      <c r="J20" s="8">
        <v>628.0</v>
      </c>
      <c r="K20" s="8">
        <v>57.721</v>
      </c>
      <c r="L20" s="8">
        <v>1357.5</v>
      </c>
      <c r="M20" s="8">
        <v>57.689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" t="s">
        <v>72</v>
      </c>
      <c r="B21" s="7" t="s">
        <v>19</v>
      </c>
      <c r="C21" s="8">
        <v>57.8</v>
      </c>
      <c r="D21" s="8">
        <v>57.8</v>
      </c>
      <c r="E21" s="8">
        <v>57.43</v>
      </c>
      <c r="F21" s="8">
        <v>57.51</v>
      </c>
      <c r="G21" s="8">
        <v>57.654</v>
      </c>
      <c r="H21" s="8">
        <v>950.17</v>
      </c>
      <c r="I21" s="8">
        <v>57.531</v>
      </c>
      <c r="J21" s="8">
        <v>818.101</v>
      </c>
      <c r="K21" s="8">
        <v>57.597</v>
      </c>
      <c r="L21" s="8">
        <v>1768.27</v>
      </c>
      <c r="M21" s="8">
        <v>57.654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7" t="s">
        <v>73</v>
      </c>
      <c r="B22" s="7" t="s">
        <v>17</v>
      </c>
      <c r="C22" s="12">
        <v>57.555</v>
      </c>
      <c r="D22" s="12">
        <v>57.64</v>
      </c>
      <c r="E22" s="12">
        <v>57.47</v>
      </c>
      <c r="F22" s="8">
        <v>57.608</v>
      </c>
      <c r="G22" s="8">
        <v>57.534</v>
      </c>
      <c r="H22" s="8">
        <v>752.45</v>
      </c>
      <c r="I22" s="8">
        <v>57.576</v>
      </c>
      <c r="J22" s="8">
        <v>662.14</v>
      </c>
      <c r="K22" s="8">
        <v>57.554</v>
      </c>
      <c r="L22" s="8">
        <v>1414.59</v>
      </c>
      <c r="M22" s="8">
        <v>57.534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7" t="s">
        <v>74</v>
      </c>
      <c r="B23" s="7" t="s">
        <v>27</v>
      </c>
      <c r="C23" s="12">
        <v>57.7</v>
      </c>
      <c r="D23" s="12">
        <v>57.75</v>
      </c>
      <c r="E23" s="12">
        <v>57.54</v>
      </c>
      <c r="F23" s="8">
        <v>57.665</v>
      </c>
      <c r="G23" s="8">
        <v>57.657</v>
      </c>
      <c r="H23" s="8">
        <v>772.0</v>
      </c>
      <c r="I23" s="8">
        <v>57.619</v>
      </c>
      <c r="J23" s="8">
        <v>731.56</v>
      </c>
      <c r="K23" s="8">
        <v>57.639</v>
      </c>
      <c r="L23" s="8">
        <v>1503.56</v>
      </c>
      <c r="M23" s="8">
        <v>57.657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7"/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7"/>
      <c r="B25" s="1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7"/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4"/>
      <c r="C31" s="1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">
    <mergeCell ref="B15:M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>
        <v>45323.0</v>
      </c>
      <c r="B2" s="4">
        <f>EOMONTH(A2,0)</f>
        <v>45351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75</v>
      </c>
      <c r="B4" s="7" t="s">
        <v>76</v>
      </c>
      <c r="C4" s="12">
        <v>57.85</v>
      </c>
      <c r="D4" s="12">
        <v>58.2</v>
      </c>
      <c r="E4" s="12">
        <v>57.85</v>
      </c>
      <c r="F4" s="8">
        <v>58.2</v>
      </c>
      <c r="G4" s="8">
        <v>58.02</v>
      </c>
      <c r="H4" s="8">
        <v>871.5</v>
      </c>
      <c r="I4" s="8">
        <v>58.139</v>
      </c>
      <c r="J4" s="8">
        <v>1373.0</v>
      </c>
      <c r="K4" s="8">
        <v>58.093</v>
      </c>
      <c r="L4" s="8">
        <v>2244.5</v>
      </c>
      <c r="M4" s="8">
        <v>58.02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7" t="s">
        <v>77</v>
      </c>
      <c r="B5" s="7" t="s">
        <v>54</v>
      </c>
      <c r="C5" s="12">
        <v>58.22</v>
      </c>
      <c r="D5" s="12">
        <v>58.478</v>
      </c>
      <c r="E5" s="12">
        <v>58.17</v>
      </c>
      <c r="F5" s="8">
        <v>58.435</v>
      </c>
      <c r="G5" s="8">
        <v>58.245</v>
      </c>
      <c r="H5" s="8">
        <v>924.49</v>
      </c>
      <c r="I5" s="8">
        <v>58.368</v>
      </c>
      <c r="J5" s="8">
        <v>1002.1</v>
      </c>
      <c r="K5" s="8">
        <v>58.309</v>
      </c>
      <c r="L5" s="8">
        <v>1926.59</v>
      </c>
      <c r="M5" s="8">
        <v>58.245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 t="s">
        <v>78</v>
      </c>
      <c r="B6" s="7" t="s">
        <v>33</v>
      </c>
      <c r="C6" s="12">
        <v>58.5</v>
      </c>
      <c r="D6" s="12">
        <v>58.649</v>
      </c>
      <c r="E6" s="12">
        <v>58.45</v>
      </c>
      <c r="F6" s="8">
        <v>58.57</v>
      </c>
      <c r="G6" s="8">
        <v>58.591</v>
      </c>
      <c r="H6" s="8">
        <v>1055.5</v>
      </c>
      <c r="I6" s="8">
        <v>58.61</v>
      </c>
      <c r="J6" s="8">
        <v>718.5</v>
      </c>
      <c r="K6" s="8">
        <v>58.599</v>
      </c>
      <c r="L6" s="8">
        <v>1774.0</v>
      </c>
      <c r="M6" s="8">
        <v>58.591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 t="s">
        <v>79</v>
      </c>
      <c r="B7" s="7" t="s">
        <v>80</v>
      </c>
      <c r="C7" s="12">
        <v>58.4</v>
      </c>
      <c r="D7" s="12">
        <v>58.63</v>
      </c>
      <c r="E7" s="12">
        <v>58.335</v>
      </c>
      <c r="F7" s="8">
        <v>58.63</v>
      </c>
      <c r="G7" s="8">
        <v>58.416</v>
      </c>
      <c r="H7" s="8">
        <v>828.6</v>
      </c>
      <c r="I7" s="8">
        <v>58.529</v>
      </c>
      <c r="J7" s="8">
        <v>743.37</v>
      </c>
      <c r="K7" s="8">
        <v>58.469</v>
      </c>
      <c r="L7" s="8">
        <v>1571.97</v>
      </c>
      <c r="M7" s="8">
        <v>58.416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 t="s">
        <v>81</v>
      </c>
      <c r="B8" s="7" t="s">
        <v>27</v>
      </c>
      <c r="C8" s="12">
        <v>58.68</v>
      </c>
      <c r="D8" s="12">
        <v>59.0</v>
      </c>
      <c r="E8" s="12">
        <v>58.65</v>
      </c>
      <c r="F8" s="8">
        <v>59.0</v>
      </c>
      <c r="G8" s="8">
        <v>58.866</v>
      </c>
      <c r="H8" s="8">
        <v>1024.55</v>
      </c>
      <c r="I8" s="8">
        <v>58.958</v>
      </c>
      <c r="J8" s="8">
        <v>821.95</v>
      </c>
      <c r="K8" s="8">
        <v>58.907</v>
      </c>
      <c r="L8" s="8">
        <v>1846.5</v>
      </c>
      <c r="M8" s="8">
        <v>58.866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 t="s">
        <v>82</v>
      </c>
      <c r="B9" s="7" t="s">
        <v>31</v>
      </c>
      <c r="C9" s="12">
        <v>59.25</v>
      </c>
      <c r="D9" s="12">
        <v>59.71</v>
      </c>
      <c r="E9" s="12">
        <v>59.25</v>
      </c>
      <c r="F9" s="8">
        <v>59.5</v>
      </c>
      <c r="G9" s="8">
        <v>59.58</v>
      </c>
      <c r="H9" s="8">
        <v>1321.5</v>
      </c>
      <c r="I9" s="8">
        <v>59.522</v>
      </c>
      <c r="J9" s="8">
        <v>1275.703</v>
      </c>
      <c r="K9" s="8">
        <v>59.552</v>
      </c>
      <c r="L9" s="8">
        <v>2597.2</v>
      </c>
      <c r="M9" s="8">
        <v>59.58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 t="s">
        <v>83</v>
      </c>
      <c r="B10" s="7" t="s">
        <v>84</v>
      </c>
      <c r="C10" s="12">
        <v>59.25</v>
      </c>
      <c r="D10" s="12">
        <v>59.345</v>
      </c>
      <c r="E10" s="12">
        <v>58.86</v>
      </c>
      <c r="F10" s="8">
        <v>58.896</v>
      </c>
      <c r="G10" s="8">
        <v>59.182</v>
      </c>
      <c r="H10" s="8">
        <v>867.56</v>
      </c>
      <c r="I10" s="8">
        <v>59.107</v>
      </c>
      <c r="J10" s="8">
        <v>1159.3</v>
      </c>
      <c r="K10" s="8">
        <v>59.139</v>
      </c>
      <c r="L10" s="8">
        <v>2026.86</v>
      </c>
      <c r="M10" s="8">
        <v>59.182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 t="s">
        <v>85</v>
      </c>
      <c r="B11" s="7" t="s">
        <v>86</v>
      </c>
      <c r="C11" s="12">
        <v>58.888</v>
      </c>
      <c r="D11" s="12">
        <v>59.17</v>
      </c>
      <c r="E11" s="12">
        <v>58.77</v>
      </c>
      <c r="F11" s="8">
        <v>59.17</v>
      </c>
      <c r="G11" s="8">
        <v>58.883</v>
      </c>
      <c r="H11" s="8">
        <v>943.3</v>
      </c>
      <c r="I11" s="8">
        <v>58.938</v>
      </c>
      <c r="J11" s="8">
        <v>1113.78</v>
      </c>
      <c r="K11" s="8">
        <v>58.913</v>
      </c>
      <c r="L11" s="8">
        <v>2057.08</v>
      </c>
      <c r="M11" s="8">
        <v>58.883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 t="s">
        <v>87</v>
      </c>
      <c r="B12" s="7" t="s">
        <v>21</v>
      </c>
      <c r="C12" s="12">
        <v>59.32</v>
      </c>
      <c r="D12" s="12">
        <v>59.65</v>
      </c>
      <c r="E12" s="12">
        <v>59.3</v>
      </c>
      <c r="F12" s="8">
        <v>59.385</v>
      </c>
      <c r="G12" s="8">
        <v>59.534</v>
      </c>
      <c r="H12" s="8">
        <v>1209.5</v>
      </c>
      <c r="I12" s="8">
        <v>59.526</v>
      </c>
      <c r="J12" s="8">
        <v>708.501</v>
      </c>
      <c r="K12" s="8">
        <v>59.531</v>
      </c>
      <c r="L12" s="8">
        <v>1918.0</v>
      </c>
      <c r="M12" s="8">
        <v>59.534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 t="s">
        <v>88</v>
      </c>
      <c r="B13" s="10" t="s">
        <v>89</v>
      </c>
      <c r="C13" s="11">
        <v>59.55</v>
      </c>
      <c r="D13" s="11">
        <v>59.75</v>
      </c>
      <c r="E13" s="11">
        <v>59.41</v>
      </c>
      <c r="F13" s="11">
        <v>59.735</v>
      </c>
      <c r="G13" s="11">
        <v>59.505</v>
      </c>
      <c r="H13" s="11">
        <v>1134.5</v>
      </c>
      <c r="I13" s="11">
        <v>59.605</v>
      </c>
      <c r="J13" s="11">
        <v>1093.0</v>
      </c>
      <c r="K13" s="11">
        <v>59.554</v>
      </c>
      <c r="L13" s="11">
        <v>2227.5</v>
      </c>
      <c r="M13" s="11">
        <v>59.505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" t="s">
        <v>90</v>
      </c>
      <c r="B14" s="10" t="s">
        <v>91</v>
      </c>
      <c r="C14" s="11">
        <v>59.71</v>
      </c>
      <c r="D14" s="11">
        <v>59.94</v>
      </c>
      <c r="E14" s="11">
        <v>59.7</v>
      </c>
      <c r="F14" s="11" t="s">
        <v>92</v>
      </c>
      <c r="G14" s="11">
        <v>59.861</v>
      </c>
      <c r="H14" s="11">
        <v>925.42</v>
      </c>
      <c r="I14" s="11" t="s">
        <v>92</v>
      </c>
      <c r="J14" s="11" t="s">
        <v>92</v>
      </c>
      <c r="K14" s="11">
        <v>59.861</v>
      </c>
      <c r="L14" s="11">
        <v>925.42</v>
      </c>
      <c r="M14" s="11">
        <v>59.861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9">
        <v>46098.0</v>
      </c>
      <c r="B15" s="20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9">
        <v>46099.0</v>
      </c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9">
        <v>46100.0</v>
      </c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9">
        <v>46101.0</v>
      </c>
      <c r="B18" s="23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9">
        <v>46104.0</v>
      </c>
      <c r="B19" s="23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9">
        <v>46105.0</v>
      </c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9">
        <v>46106.0</v>
      </c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9">
        <v>46107.0</v>
      </c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9">
        <v>46108.0</v>
      </c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9">
        <v>46111.0</v>
      </c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9">
        <v>46112.0</v>
      </c>
      <c r="B25" s="1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7"/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4"/>
      <c r="C31" s="1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>
        <v>45017.0</v>
      </c>
      <c r="B2" s="3">
        <f>EOMONTH(A2,0)</f>
        <v>45046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4">
        <v>46113.0</v>
      </c>
      <c r="B4" s="25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9">
        <v>46114.0</v>
      </c>
      <c r="B5" s="2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9">
        <v>46115.0</v>
      </c>
      <c r="B6" s="25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9">
        <v>46118.0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9">
        <v>46119.0</v>
      </c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>
        <v>46120.0</v>
      </c>
      <c r="B9" s="23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9">
        <v>46121.0</v>
      </c>
      <c r="B10" s="23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9">
        <v>46122.0</v>
      </c>
      <c r="B11" s="23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9">
        <v>46125.0</v>
      </c>
      <c r="B12" s="23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9">
        <v>46126.0</v>
      </c>
      <c r="B13" s="20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9">
        <v>46127.0</v>
      </c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9">
        <v>46128.0</v>
      </c>
      <c r="B15" s="23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9">
        <v>46129.0</v>
      </c>
      <c r="B16" s="20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9">
        <v>46132.0</v>
      </c>
      <c r="B17" s="23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9">
        <v>46133.0</v>
      </c>
      <c r="B18" s="20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9">
        <v>46134.0</v>
      </c>
      <c r="B19" s="20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9">
        <v>46135.0</v>
      </c>
      <c r="B20" s="20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9">
        <v>46136.0</v>
      </c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9">
        <v>46139.0</v>
      </c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9">
        <v>46140.0</v>
      </c>
      <c r="B23" s="20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9">
        <v>46141.0</v>
      </c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46142.0</v>
      </c>
      <c r="B25" s="1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conditionalFormatting sqref="A1:A3 A25:A998">
    <cfRule type="expression" dxfId="0" priority="1">
      <formula>COUNTIF($A$1:$A$998, A1)&gt;1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>
        <v>45413.0</v>
      </c>
      <c r="B2" s="3">
        <f>EOMONTH(A2,0)</f>
        <v>45443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9">
        <v>46143.0</v>
      </c>
      <c r="B4" s="21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9">
        <v>46146.0</v>
      </c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9">
        <v>46147.0</v>
      </c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9">
        <v>46148.0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9">
        <v>46149.0</v>
      </c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>
        <v>46150.0</v>
      </c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9">
        <v>46153.0</v>
      </c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9">
        <v>46154.0</v>
      </c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9">
        <v>46155.0</v>
      </c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9">
        <v>46156.0</v>
      </c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9">
        <v>46157.0</v>
      </c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9">
        <v>46160.0</v>
      </c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9">
        <v>46161.0</v>
      </c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9">
        <v>46162.0</v>
      </c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9">
        <v>46163.0</v>
      </c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9">
        <v>46164.0</v>
      </c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9">
        <v>46167.0</v>
      </c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9">
        <v>46168.0</v>
      </c>
      <c r="B21" s="1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9">
        <v>46169.0</v>
      </c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9">
        <v>46170.0</v>
      </c>
      <c r="B23" s="1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9">
        <v>46171.0</v>
      </c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9">
        <v>45807.0</v>
      </c>
      <c r="B25" s="1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7"/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conditionalFormatting sqref="A1:A3 A27:A999">
    <cfRule type="expression" dxfId="0" priority="1">
      <formula>COUNTIF($A$1:$A$999, A1)&gt;1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23.0"/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26">
        <v>45444.0</v>
      </c>
      <c r="B2" s="3">
        <f>EOMONTH(A2,0)</f>
        <v>45473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9">
        <v>46174.0</v>
      </c>
      <c r="B4" s="21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9">
        <v>46175.0</v>
      </c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9">
        <v>46176.0</v>
      </c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9">
        <v>46177.0</v>
      </c>
      <c r="B7" s="20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9">
        <v>46178.0</v>
      </c>
      <c r="B8" s="1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>
        <v>46181.0</v>
      </c>
      <c r="B9" s="1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9">
        <v>46182.0</v>
      </c>
      <c r="B10" s="1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9">
        <v>46183.0</v>
      </c>
      <c r="B11" s="1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9">
        <v>46184.0</v>
      </c>
      <c r="B12" s="1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9">
        <v>46185.0</v>
      </c>
      <c r="B13" s="1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9">
        <v>46188.0</v>
      </c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9">
        <v>46189.0</v>
      </c>
      <c r="B15" s="1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9">
        <v>46190.0</v>
      </c>
      <c r="B16" s="1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9">
        <v>46191.0</v>
      </c>
      <c r="B17" s="1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9">
        <v>46192.0</v>
      </c>
      <c r="B18" s="1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9">
        <v>46195.0</v>
      </c>
      <c r="B19" s="1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9">
        <v>46196.0</v>
      </c>
      <c r="B20" s="1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9">
        <v>46197.0</v>
      </c>
      <c r="B21" s="1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9">
        <v>46198.0</v>
      </c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9">
        <v>46199.0</v>
      </c>
      <c r="B23" s="1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9">
        <v>46202.0</v>
      </c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9">
        <v>46203.0</v>
      </c>
      <c r="B25" s="1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/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/>
      <c r="B27" s="1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/>
      <c r="B28" s="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/>
      <c r="B29" s="1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5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5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5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5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5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5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5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5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5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5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5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5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5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5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5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5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5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5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5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5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5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5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5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5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5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5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5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5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5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5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5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5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5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conditionalFormatting sqref="A1:A3 A26:A999">
    <cfRule type="expression" dxfId="0" priority="1">
      <formula>COUNTIF($A$1:$A$999, A1)&gt;1</formula>
    </cfRule>
  </conditionalFormatting>
  <conditionalFormatting sqref="A1 A24:A999">
    <cfRule type="expression" dxfId="0" priority="2">
      <formula>COUNTIF($A$1:$A$997, A1)&gt;1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">
        <v>45138.0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8">
        <v>46204.0</v>
      </c>
      <c r="B4" s="1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46205.0</v>
      </c>
      <c r="B5" s="1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46206.0</v>
      </c>
      <c r="B6" s="1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46209.0</v>
      </c>
      <c r="B7" s="1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46210.0</v>
      </c>
      <c r="B8" s="1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46211.0</v>
      </c>
      <c r="B9" s="1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46212.0</v>
      </c>
      <c r="B10" s="1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46213.0</v>
      </c>
      <c r="B11" s="1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46216.0</v>
      </c>
      <c r="B12" s="1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46217.0</v>
      </c>
      <c r="B13" s="1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46218.0</v>
      </c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46219.0</v>
      </c>
      <c r="B15" s="1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46220.0</v>
      </c>
      <c r="B16" s="1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46223.0</v>
      </c>
      <c r="B17" s="1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46224.0</v>
      </c>
      <c r="B18" s="1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46225.0</v>
      </c>
      <c r="B19" s="1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46226.0</v>
      </c>
      <c r="B20" s="1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46227.0</v>
      </c>
      <c r="B21" s="1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46230.0</v>
      </c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46231.0</v>
      </c>
      <c r="B23" s="1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46232.0</v>
      </c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46233.0</v>
      </c>
      <c r="B25" s="1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46234.0</v>
      </c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4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A1000">
    <cfRule type="expression" dxfId="0" priority="1">
      <formula>COUNTIF($A$1:$A$1000, A1)&gt;1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">
        <v>45169.0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8">
        <v>46237.0</v>
      </c>
      <c r="B4" s="1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46238.0</v>
      </c>
      <c r="B5" s="1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46239.0</v>
      </c>
      <c r="B6" s="1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46240.0</v>
      </c>
      <c r="B7" s="1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46241.0</v>
      </c>
      <c r="B8" s="1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46244.0</v>
      </c>
      <c r="B9" s="1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46245.0</v>
      </c>
      <c r="B10" s="1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46246.0</v>
      </c>
      <c r="B11" s="1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46247.0</v>
      </c>
      <c r="B12" s="1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46248.0</v>
      </c>
      <c r="B13" s="1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46251.0</v>
      </c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46252.0</v>
      </c>
      <c r="B15" s="1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46253.0</v>
      </c>
      <c r="B16" s="1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46254.0</v>
      </c>
      <c r="B17" s="1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46255.0</v>
      </c>
      <c r="B18" s="1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46258.0</v>
      </c>
      <c r="B19" s="1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46259.0</v>
      </c>
      <c r="B20" s="1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46260.0</v>
      </c>
      <c r="B21" s="1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46261.0</v>
      </c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46262.0</v>
      </c>
      <c r="B23" s="1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46265.0</v>
      </c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4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A1000">
    <cfRule type="expression" dxfId="0" priority="1">
      <formula>COUNTIF($A$1:$A$1000, A1)&gt;1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">
        <v>45199.0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8">
        <v>46266.0</v>
      </c>
      <c r="B4" s="1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46267.0</v>
      </c>
      <c r="B5" s="1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46268.0</v>
      </c>
      <c r="B6" s="1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46269.0</v>
      </c>
      <c r="B7" s="1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46272.0</v>
      </c>
      <c r="B8" s="1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46273.0</v>
      </c>
      <c r="B9" s="1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46274.0</v>
      </c>
      <c r="B10" s="1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46275.0</v>
      </c>
      <c r="B11" s="1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46276.0</v>
      </c>
      <c r="B12" s="1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46279.0</v>
      </c>
      <c r="B13" s="1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46280.0</v>
      </c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46281.0</v>
      </c>
      <c r="B15" s="1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46282.0</v>
      </c>
      <c r="B16" s="1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46283.0</v>
      </c>
      <c r="B17" s="1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46286.0</v>
      </c>
      <c r="B18" s="1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46287.0</v>
      </c>
      <c r="B19" s="1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46288.0</v>
      </c>
      <c r="B20" s="1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46289.0</v>
      </c>
      <c r="B21" s="1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46290.0</v>
      </c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46293.0</v>
      </c>
      <c r="B23" s="1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46294.0</v>
      </c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46295.0</v>
      </c>
      <c r="B25" s="1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4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A1000">
    <cfRule type="expression" dxfId="0" priority="1">
      <formula>COUNTIF($A$1:$A$1000, A1)&gt;1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">
        <v>45230.0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8">
        <v>46296.0</v>
      </c>
      <c r="B4" s="1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46297.0</v>
      </c>
      <c r="B5" s="1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46300.0</v>
      </c>
      <c r="B6" s="1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46301.0</v>
      </c>
      <c r="B7" s="1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46302.0</v>
      </c>
      <c r="B8" s="1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46303.0</v>
      </c>
      <c r="B9" s="1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46304.0</v>
      </c>
      <c r="B10" s="1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46307.0</v>
      </c>
      <c r="B11" s="1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46308.0</v>
      </c>
      <c r="B12" s="1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46309.0</v>
      </c>
      <c r="B13" s="1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46310.0</v>
      </c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46311.0</v>
      </c>
      <c r="B15" s="1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46314.0</v>
      </c>
      <c r="B16" s="1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46315.0</v>
      </c>
      <c r="B17" s="1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46316.0</v>
      </c>
      <c r="B18" s="1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46317.0</v>
      </c>
      <c r="B19" s="1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46318.0</v>
      </c>
      <c r="B20" s="1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46321.0</v>
      </c>
      <c r="B21" s="1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46322.0</v>
      </c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46323.0</v>
      </c>
      <c r="B23" s="1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46324.0</v>
      </c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46325.0</v>
      </c>
      <c r="B25" s="1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45961.0</v>
      </c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4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A1000">
    <cfRule type="expression" dxfId="0" priority="1">
      <formula>COUNTIF($A$1:$A$1000, A1)&gt;1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">
        <v>45260.0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8">
        <v>46328.0</v>
      </c>
      <c r="B4" s="1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46329.0</v>
      </c>
      <c r="B5" s="1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46330.0</v>
      </c>
      <c r="B6" s="1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46331.0</v>
      </c>
      <c r="B7" s="1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46332.0</v>
      </c>
      <c r="B8" s="1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46335.0</v>
      </c>
      <c r="B9" s="1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46336.0</v>
      </c>
      <c r="B10" s="1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46337.0</v>
      </c>
      <c r="B11" s="1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46338.0</v>
      </c>
      <c r="B12" s="1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46339.0</v>
      </c>
      <c r="B13" s="1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46342.0</v>
      </c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46343.0</v>
      </c>
      <c r="B15" s="1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46344.0</v>
      </c>
      <c r="B16" s="1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46345.0</v>
      </c>
      <c r="B17" s="1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46346.0</v>
      </c>
      <c r="B18" s="1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46349.0</v>
      </c>
      <c r="B19" s="1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46350.0</v>
      </c>
      <c r="B20" s="1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46351.0</v>
      </c>
      <c r="B21" s="1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46352.0</v>
      </c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46353.0</v>
      </c>
      <c r="B23" s="1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46356.0</v>
      </c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4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A1000">
    <cfRule type="expression" dxfId="0" priority="1">
      <formula>COUNTIF($A$1:$A$1000, A1)&gt;1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29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0">
        <v>45291.0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8">
        <v>46357.0</v>
      </c>
      <c r="B4" s="3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46358.0</v>
      </c>
      <c r="B5" s="3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46359.0</v>
      </c>
      <c r="B6" s="1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46360.0</v>
      </c>
      <c r="B7" s="1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46363.0</v>
      </c>
      <c r="B8" s="1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46364.0</v>
      </c>
      <c r="B9" s="3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46365.0</v>
      </c>
      <c r="B10" s="1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46366.0</v>
      </c>
      <c r="B11" s="1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46367.0</v>
      </c>
      <c r="B12" s="1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46370.0</v>
      </c>
      <c r="B13" s="3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46371.0</v>
      </c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46372.0</v>
      </c>
      <c r="B15" s="1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46373.0</v>
      </c>
      <c r="B16" s="3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46374.0</v>
      </c>
      <c r="B17" s="1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46377.0</v>
      </c>
      <c r="B18" s="1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46378.0</v>
      </c>
      <c r="B19" s="3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46379.0</v>
      </c>
      <c r="B20" s="1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46380.0</v>
      </c>
      <c r="B21" s="1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46381.0</v>
      </c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46384.0</v>
      </c>
      <c r="B23" s="1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46385.0</v>
      </c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46386.0</v>
      </c>
      <c r="B25" s="1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46387.0</v>
      </c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4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A1000">
    <cfRule type="expression" dxfId="0" priority="1">
      <formula>COUNTIF($A$1:$A$1000, A1)&gt;1</formula>
    </cfRule>
  </conditionalFormatting>
  <drawing r:id="rId1"/>
</worksheet>
</file>